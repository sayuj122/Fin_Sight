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plica 1\FinSight\"/>
    </mc:Choice>
  </mc:AlternateContent>
  <xr:revisionPtr revIDLastSave="0" documentId="13_ncr:1_{29217D3C-FF9D-4EE8-8A98-133591F8E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B6" i="6"/>
  <c r="C17" i="2"/>
  <c r="C20" i="2" s="1"/>
  <c r="D17" i="2"/>
  <c r="G17" i="2"/>
  <c r="H17" i="2"/>
  <c r="I17" i="2"/>
  <c r="C18" i="2"/>
  <c r="D18" i="2"/>
  <c r="D21" i="2" s="1"/>
  <c r="G18" i="2"/>
  <c r="G21" i="2" s="1"/>
  <c r="H18" i="2"/>
  <c r="H21" i="2" s="1"/>
  <c r="I18" i="2"/>
  <c r="I21" i="2" s="1"/>
  <c r="B17" i="2"/>
  <c r="C4" i="2"/>
  <c r="D4" i="2"/>
  <c r="D23" i="2" s="1"/>
  <c r="F23" i="2"/>
  <c r="G4" i="2"/>
  <c r="H4" i="2"/>
  <c r="I4" i="2"/>
  <c r="I5" i="2"/>
  <c r="C5" i="2"/>
  <c r="D5" i="2"/>
  <c r="G5" i="2"/>
  <c r="G23" i="2" s="1"/>
  <c r="H5" i="2"/>
  <c r="C6" i="2"/>
  <c r="D6" i="2"/>
  <c r="G6" i="2"/>
  <c r="H6" i="2"/>
  <c r="I6" i="2"/>
  <c r="C7" i="2"/>
  <c r="D7" i="2"/>
  <c r="G7" i="2"/>
  <c r="H7" i="2"/>
  <c r="I7" i="2"/>
  <c r="C8" i="2"/>
  <c r="D8" i="2"/>
  <c r="G8" i="2"/>
  <c r="H8" i="2"/>
  <c r="I8" i="2"/>
  <c r="C10" i="2"/>
  <c r="D10" i="2"/>
  <c r="G10" i="2"/>
  <c r="H10" i="2"/>
  <c r="I10" i="2"/>
  <c r="C11" i="2"/>
  <c r="D11" i="2"/>
  <c r="G11" i="2"/>
  <c r="H11" i="2"/>
  <c r="I11" i="2"/>
  <c r="C12" i="2"/>
  <c r="D12" i="2"/>
  <c r="G12" i="2"/>
  <c r="H12" i="2"/>
  <c r="I12" i="2"/>
  <c r="C13" i="2"/>
  <c r="D13" i="2"/>
  <c r="G13" i="2"/>
  <c r="H13" i="2"/>
  <c r="I13" i="2"/>
  <c r="C14" i="2"/>
  <c r="D14" i="2"/>
  <c r="G14" i="2"/>
  <c r="H14" i="2"/>
  <c r="I14" i="2"/>
  <c r="B14" i="2"/>
  <c r="B5" i="2"/>
  <c r="B4" i="2"/>
  <c r="B23" i="2" s="1"/>
  <c r="C4" i="4"/>
  <c r="D4" i="4"/>
  <c r="C5" i="4"/>
  <c r="D5" i="4"/>
  <c r="C6" i="4"/>
  <c r="D6" i="4"/>
  <c r="C7" i="4"/>
  <c r="D7" i="4"/>
  <c r="C4" i="3"/>
  <c r="C14" i="3" s="1"/>
  <c r="D4" i="3"/>
  <c r="D14" i="3" s="1"/>
  <c r="E4" i="3"/>
  <c r="E14" i="3" s="1"/>
  <c r="F4" i="3"/>
  <c r="F14" i="3" s="1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L23" i="1"/>
  <c r="B20" i="2"/>
  <c r="A1" i="1"/>
  <c r="A1" i="3" s="1"/>
  <c r="E1" i="6"/>
  <c r="H1" i="1" s="1"/>
  <c r="E1" i="2"/>
  <c r="E1" i="3"/>
  <c r="H16" i="2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C21" i="2"/>
  <c r="B18" i="2"/>
  <c r="B21" i="2" s="1"/>
  <c r="B13" i="2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14" i="3" s="1"/>
  <c r="B3" i="3"/>
  <c r="B3" i="1"/>
  <c r="I14" i="3"/>
  <c r="G14" i="3"/>
  <c r="G20" i="2"/>
  <c r="D20" i="2"/>
  <c r="H23" i="1"/>
  <c r="I23" i="1"/>
  <c r="J23" i="1"/>
  <c r="A1" i="2" l="1"/>
  <c r="A1" i="4" s="1"/>
  <c r="D16" i="2"/>
  <c r="B16" i="2"/>
  <c r="H23" i="2"/>
  <c r="K23" i="2"/>
  <c r="I16" i="2"/>
  <c r="G16" i="2"/>
  <c r="C16" i="2"/>
  <c r="E24" i="2"/>
  <c r="K24" i="2"/>
  <c r="C23" i="2"/>
  <c r="J24" i="2"/>
  <c r="I24" i="1"/>
  <c r="H24" i="1"/>
  <c r="D24" i="2"/>
  <c r="I24" i="2"/>
  <c r="K25" i="1"/>
  <c r="C24" i="2"/>
  <c r="H24" i="2"/>
  <c r="G24" i="2"/>
  <c r="K24" i="1"/>
  <c r="J23" i="2"/>
  <c r="I23" i="2"/>
  <c r="F24" i="2"/>
  <c r="J25" i="1"/>
  <c r="I20" i="2"/>
  <c r="J24" i="1"/>
  <c r="H20" i="2"/>
  <c r="K23" i="1"/>
  <c r="E1" i="4"/>
  <c r="I25" i="1" l="1"/>
  <c r="H25" i="1"/>
</calcChain>
</file>

<file path=xl/sharedStrings.xml><?xml version="1.0" encoding="utf-8"?>
<sst xmlns="http://schemas.openxmlformats.org/spreadsheetml/2006/main" count="130" uniqueCount="79">
  <si>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</si>
  <si>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</si>
  <si>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</si>
  <si>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</si>
  <si>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</si>
  <si>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</si>
  <si>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</si>
  <si>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</si>
  <si>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</si>
  <si>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</si>
  <si>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</si>
  <si>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</si>
  <si>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</si>
  <si>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</si>
  <si>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</si>
  <si>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</si>
  <si>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</si>
  <si>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</si>
  <si>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</si>
  <si>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</si>
  <si>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</si>
  <si>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</si>
  <si>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</si>
  <si>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</si>
  <si>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</si>
  <si>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</si>
  <si>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</si>
  <si>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</si>
  <si>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</si>
  <si>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</si>
  <si>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</si>
  <si>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</si>
  <si>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</si>
  <si>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</si>
  <si>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</si>
  <si>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</si>
  <si>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</si>
  <si>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</si>
  <si>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</si>
  <si>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</si>
  <si>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</si>
  <si>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</si>
  <si>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</si>
  <si>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</si>
  <si>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</si>
  <si>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</si>
  <si>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</si>
  <si>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</si>
  <si>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</si>
  <si>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</si>
  <si>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</si>
  <si>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</si>
  <si>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AXIS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</si>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</sst>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0">
    <xf numFmtId="0" fontId="0" fillId="0" borderId="0" xfId="0"/>
    <xf numFmtId="164" fontId="1" fillId="0" borderId="0" xfId="1" applyFont="1" applyBorder="1"/>
    <xf numFmtId="0" fontId="1" fillId="0" borderId="0" xfId="0" applyFont="1"/>
    <xf numFmtId="0" fontId="6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1" fillId="0" borderId="0" xfId="4" applyFont="1" applyBorder="1"/>
    <xf numFmtId="0" fontId="2" fillId="3" borderId="0" xfId="0" applyFont="1" applyFill="1"/>
    <xf numFmtId="165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3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B8" activePane="bottomRight" state="frozen"/>
      <selection activeCell="I2" sqref="I2"/>
      <selection pane="topRight" activeCell="I2" sqref="I2"/>
      <selection pane="bottomLeft" activeCell="I2" sqref="I2"/>
      <selection pane="bottomRight" activeCell="N4" sqref="N4:N19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AXIS BANK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8" t="s">
        <v>2</v>
      </c>
      <c r="B3" s="9">
        <f>'Data Sheet'!B16</f>
        <v>42825</v>
      </c>
      <c r="C3" s="9">
        <f>'Data Sheet'!C16</f>
        <v>43190</v>
      </c>
      <c r="D3" s="9">
        <f>'Data Sheet'!D16</f>
        <v>43555</v>
      </c>
      <c r="E3" s="9">
        <f>'Data Sheet'!E16</f>
        <v>43921</v>
      </c>
      <c r="F3" s="9">
        <f>'Data Sheet'!F16</f>
        <v>44286</v>
      </c>
      <c r="G3" s="9">
        <f>'Data Sheet'!G16</f>
        <v>44651</v>
      </c>
      <c r="H3" s="9">
        <f>'Data Sheet'!H16</f>
        <v>45016</v>
      </c>
      <c r="I3" s="9">
        <f>'Data Sheet'!I16</f>
        <v>45382</v>
      </c>
      <c r="J3" s="9">
        <f>'Data Sheet'!J16</f>
        <v>45747</v>
      </c>
      <c r="K3" s="9">
        <f>'Data Sheet'!K16</f>
        <v>46112</v>
      </c>
      <c r="L3" s="10" t="s">
        <v>3</v>
      </c>
      <c r="M3" s="10" t="s">
        <v>4</v>
      </c>
      <c r="N3" s="10" t="s">
        <v>5</v>
      </c>
    </row>
    <row r="4" spans="1:14" s="2" customFormat="1" x14ac:dyDescent="0.3">
      <c r="A4" s="2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t="s">
        <v>7</v>
      </c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2" customFormat="1" x14ac:dyDescent="0.3">
      <c r="A6" s="2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t="s">
        <v>9</v>
      </c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t="s">
        <v>10</v>
      </c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t="s">
        <v>11</v>
      </c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t="s">
        <v>12</v>
      </c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t="s">
        <v>13</v>
      </c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2" customFormat="1" x14ac:dyDescent="0.3">
      <c r="A12" s="2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t="s">
        <v>46</v>
      </c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t="s">
        <v>16</v>
      </c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2" customFormat="1" x14ac:dyDescent="0.3">
      <c r="A15" s="2" t="s">
        <v>47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2" customFormat="1" x14ac:dyDescent="0.3">
      <c r="A17" s="2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t="s">
        <v>17</v>
      </c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t="s">
        <v>18</v>
      </c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8"/>
      <c r="B22" s="9"/>
      <c r="C22" s="9"/>
      <c r="D22" s="9"/>
      <c r="E22" s="9"/>
      <c r="F22" s="9"/>
      <c r="G22" s="9" t="s">
        <v>19</v>
      </c>
      <c r="H22" s="9" t="s">
        <v>54</v>
      </c>
      <c r="I22" s="9" t="s">
        <v>55</v>
      </c>
      <c r="J22" s="9" t="s">
        <v>56</v>
      </c>
      <c r="K22" s="9" t="s">
        <v>57</v>
      </c>
      <c r="L22" s="10" t="s">
        <v>58</v>
      </c>
      <c r="M22" s="10" t="s">
        <v>20</v>
      </c>
      <c r="N22" s="10" t="s">
        <v>21</v>
      </c>
    </row>
    <row r="23" spans="1:14" s="2" customFormat="1" x14ac:dyDescent="0.3">
      <c r="A23"/>
      <c r="B23"/>
      <c r="C23"/>
      <c r="D23"/>
      <c r="E23"/>
      <c r="F23"/>
      <c r="G23"/>
      <c r="H23" s="5" t="str">
        <f>IF(B4=0,"",POWER($K4/B4,1/9)-1)</f>
        <v/>
      </c>
      <c r="I23" s="5" t="str">
        <f>IF(D4=0,"",POWER($K4/D4,1/7)-1)</f>
        <v/>
      </c>
      <c r="J23" s="5" t="str">
        <f>IF(F4=0,"",POWER($K4/F4,1/5)-1)</f>
        <v/>
      </c>
      <c r="K23" s="5" t="str">
        <f>IF(H4=0,"",POWER($K4/H4, 1/3)-1)</f>
        <v/>
      </c>
      <c r="L23" s="5" t="str">
        <f>IF(ISERROR(MAX(IF(J4=0,"",(K4-J4)/J4),IF(K4=0,"",(L4-K4)/K4))),"",MAX(IF(J4=0,"",(K4-J4)/J4),IF(K4=0,"",(L4-K4)/K4)))</f>
        <v/>
      </c>
      <c r="M23" s="13"/>
      <c r="N23" s="13"/>
    </row>
    <row r="24" spans="1:14" x14ac:dyDescent="0.3">
      <c r="H24" s="5" t="str">
        <f>IF(SUM(B4:$K$4)=0,"",SUMPRODUCT(B19:$K$19,B4:$K$4)/SUM(B4:$K$4))</f>
        <v/>
      </c>
      <c r="I24" s="5" t="str">
        <f>IF(SUM(E4:$K$4)=0,"",SUMPRODUCT(E19:$K$19,E4:$K$4)/SUM(E4:$K$4))</f>
        <v/>
      </c>
      <c r="J24" s="5" t="str">
        <f>IF(SUM(G4:$K$4)=0,"",SUMPRODUCT(G19:$K$19,G4:$K$4)/SUM(G4:$K$4))</f>
        <v/>
      </c>
      <c r="K24" s="5" t="str">
        <f>IF(SUM(I4:$K$4)=0, "", SUMPRODUCT(I19:$K$19,I4:$K$4)/SUM(I4:$K$4))</f>
        <v/>
      </c>
      <c r="L24" s="5"/>
      <c r="M24" s="13"/>
      <c r="N24" s="13"/>
    </row>
    <row r="25" spans="1:14" x14ac:dyDescent="0.3">
      <c r="H25" s="6" t="str">
        <f>IF(ISERROR(AVERAGEIF(B14:$L14,"&gt;0")),"",AVERAGEIF(B14:$L14,"&gt;0"))</f>
        <v/>
      </c>
      <c r="I25" s="6" t="str">
        <f>IF(ISERROR(AVERAGEIF(E14:$L14,"&gt;0")),"",AVERAGEIF(E14:$L14,"&gt;0"))</f>
        <v/>
      </c>
      <c r="J25" s="6" t="str">
        <f>IF(ISERROR(AVERAGEIF(G14:$L14,"&gt;0")),"",AVERAGEIF(G14:$L14,"&gt;0"))</f>
        <v/>
      </c>
      <c r="K25" s="6" t="str">
        <f>IF(ISERROR(AVERAGEIF(I14:$L14,"&gt;0")),"",AVERAGEIF(I14:$L14,"&gt;0"))</f>
        <v/>
      </c>
      <c r="L25" s="6"/>
      <c r="M25" s="1"/>
      <c r="N25" s="1"/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AXIS BANK LTD</v>
      </c>
      <c r="E1" t="str">
        <f>UPDATE</f>
        <v/>
      </c>
      <c r="J1" s="2" t="s">
        <v>1</v>
      </c>
    </row>
    <row r="3" spans="1:11" s="2" customFormat="1" x14ac:dyDescent="0.3">
      <c r="A3" s="8" t="s">
        <v>2</v>
      </c>
      <c r="B3" s="9">
        <f>'Data Sheet'!B41</f>
        <v>45382</v>
      </c>
      <c r="C3" s="9">
        <f>'Data Sheet'!C41</f>
        <v>45473</v>
      </c>
      <c r="D3" s="9">
        <f>'Data Sheet'!D41</f>
        <v>45565</v>
      </c>
      <c r="E3" s="9">
        <f>'Data Sheet'!E41</f>
        <v>45657</v>
      </c>
      <c r="F3" s="9">
        <f>'Data Sheet'!F41</f>
        <v>45747</v>
      </c>
      <c r="G3" s="9">
        <f>'Data Sheet'!G41</f>
        <v>45838</v>
      </c>
      <c r="H3" s="9">
        <f>'Data Sheet'!H41</f>
        <v>45930</v>
      </c>
      <c r="I3" s="9">
        <f>'Data Sheet'!I41</f>
        <v>46022</v>
      </c>
      <c r="J3" s="9">
        <f>'Data Sheet'!J41</f>
        <v>46112</v>
      </c>
      <c r="K3" s="9">
        <f>'Data Sheet'!K41</f>
        <v>46203</v>
      </c>
    </row>
    <row r="4" spans="1:11" s="2" customFormat="1" x14ac:dyDescent="0.3">
      <c r="A4" s="2" t="s">
        <v>6</v>
      </c>
      <c r="B4" s="1">
        <f>'Data Sheet'!B42</f>
        <v>0</v>
      </c>
      <c r="C4" s="1">
        <f>'Data Sheet'!C42</f>
        <v>0</v>
      </c>
      <c r="D4" s="1">
        <f>'Data Sheet'!D42</f>
        <v>0</v>
      </c>
      <c r="E4" s="1">
        <f>'Data Sheet'!E42</f>
        <v>0</v>
      </c>
      <c r="F4" s="1">
        <f>'Data Sheet'!F42</f>
        <v>0</v>
      </c>
      <c r="G4" s="1">
        <f>'Data Sheet'!G42</f>
        <v>0</v>
      </c>
      <c r="H4" s="1">
        <f>'Data Sheet'!H42</f>
        <v>0</v>
      </c>
      <c r="I4" s="1">
        <f>'Data Sheet'!I42</f>
        <v>0</v>
      </c>
      <c r="J4" s="1">
        <f>'Data Sheet'!J42</f>
        <v>0</v>
      </c>
      <c r="K4" s="1">
        <f>'Data Sheet'!K42</f>
        <v>0</v>
      </c>
    </row>
    <row r="5" spans="1:11" x14ac:dyDescent="0.3">
      <c r="A5" t="s">
        <v>7</v>
      </c>
      <c r="B5" s="6">
        <f>'Data Sheet'!B43</f>
        <v>0</v>
      </c>
      <c r="C5" s="6">
        <f>'Data Sheet'!C43</f>
        <v>0</v>
      </c>
      <c r="D5" s="6">
        <f>'Data Sheet'!D43</f>
        <v>0</v>
      </c>
      <c r="E5" s="6">
        <f>'Data Sheet'!E43</f>
        <v>0</v>
      </c>
      <c r="F5" s="6">
        <f>'Data Sheet'!F43</f>
        <v>0</v>
      </c>
      <c r="G5" s="6">
        <f>'Data Sheet'!G43</f>
        <v>0</v>
      </c>
      <c r="H5" s="6">
        <f>'Data Sheet'!H43</f>
        <v>0</v>
      </c>
      <c r="I5" s="6">
        <f>'Data Sheet'!I43</f>
        <v>0</v>
      </c>
      <c r="J5" s="6">
        <f>'Data Sheet'!J43</f>
        <v>0</v>
      </c>
      <c r="K5" s="6">
        <f>'Data Sheet'!K43</f>
        <v>0</v>
      </c>
    </row>
    <row r="6" spans="1:11" s="2" customFormat="1" x14ac:dyDescent="0.3">
      <c r="A6" s="2" t="s">
        <v>8</v>
      </c>
      <c r="B6" s="1">
        <f>'Data Sheet'!B50</f>
        <v>0</v>
      </c>
      <c r="C6" s="1">
        <f>'Data Sheet'!C50</f>
        <v>0</v>
      </c>
      <c r="D6" s="1">
        <f>'Data Sheet'!D50</f>
        <v>0</v>
      </c>
      <c r="E6" s="1">
        <f>'Data Sheet'!E50</f>
        <v>0</v>
      </c>
      <c r="F6" s="1">
        <f>'Data Sheet'!F50</f>
        <v>0</v>
      </c>
      <c r="G6" s="1">
        <f>'Data Sheet'!G50</f>
        <v>0</v>
      </c>
      <c r="H6" s="1">
        <f>'Data Sheet'!H50</f>
        <v>0</v>
      </c>
      <c r="I6" s="1">
        <f>'Data Sheet'!I50</f>
        <v>0</v>
      </c>
      <c r="J6" s="1">
        <f>'Data Sheet'!J50</f>
        <v>0</v>
      </c>
      <c r="K6" s="1">
        <f>'Data Sheet'!K50</f>
        <v>0</v>
      </c>
    </row>
    <row r="7" spans="1:11" x14ac:dyDescent="0.3">
      <c r="A7" t="s">
        <v>9</v>
      </c>
      <c r="B7" s="6">
        <f>'Data Sheet'!B44</f>
        <v>0</v>
      </c>
      <c r="C7" s="6">
        <f>'Data Sheet'!C44</f>
        <v>0</v>
      </c>
      <c r="D7" s="6">
        <f>'Data Sheet'!D44</f>
        <v>0</v>
      </c>
      <c r="E7" s="6">
        <f>'Data Sheet'!E44</f>
        <v>0</v>
      </c>
      <c r="F7" s="6">
        <f>'Data Sheet'!F44</f>
        <v>0</v>
      </c>
      <c r="G7" s="6">
        <f>'Data Sheet'!G44</f>
        <v>0</v>
      </c>
      <c r="H7" s="6">
        <f>'Data Sheet'!H44</f>
        <v>0</v>
      </c>
      <c r="I7" s="6">
        <f>'Data Sheet'!I44</f>
        <v>0</v>
      </c>
      <c r="J7" s="6">
        <f>'Data Sheet'!J44</f>
        <v>0</v>
      </c>
      <c r="K7" s="6">
        <f>'Data Sheet'!K44</f>
        <v>0</v>
      </c>
    </row>
    <row r="8" spans="1:11" x14ac:dyDescent="0.3">
      <c r="A8" t="s">
        <v>10</v>
      </c>
      <c r="B8" s="6">
        <f>'Data Sheet'!B45</f>
        <v>0</v>
      </c>
      <c r="C8" s="6">
        <f>'Data Sheet'!C45</f>
        <v>0</v>
      </c>
      <c r="D8" s="6">
        <f>'Data Sheet'!D45</f>
        <v>0</v>
      </c>
      <c r="E8" s="6">
        <f>'Data Sheet'!E45</f>
        <v>0</v>
      </c>
      <c r="F8" s="6">
        <f>'Data Sheet'!F45</f>
        <v>0</v>
      </c>
      <c r="G8" s="6">
        <f>'Data Sheet'!G45</f>
        <v>0</v>
      </c>
      <c r="H8" s="6">
        <f>'Data Sheet'!H45</f>
        <v>0</v>
      </c>
      <c r="I8" s="6">
        <f>'Data Sheet'!I45</f>
        <v>0</v>
      </c>
      <c r="J8" s="6">
        <f>'Data Sheet'!J45</f>
        <v>0</v>
      </c>
      <c r="K8" s="6">
        <f>'Data Sheet'!K45</f>
        <v>0</v>
      </c>
    </row>
    <row r="9" spans="1:11" x14ac:dyDescent="0.3">
      <c r="A9" t="s">
        <v>11</v>
      </c>
      <c r="B9" s="6">
        <f>'Data Sheet'!B46</f>
        <v>0</v>
      </c>
      <c r="C9" s="6">
        <f>'Data Sheet'!C46</f>
        <v>0</v>
      </c>
      <c r="D9" s="6">
        <f>'Data Sheet'!D46</f>
        <v>0</v>
      </c>
      <c r="E9" s="6">
        <f>'Data Sheet'!E46</f>
        <v>0</v>
      </c>
      <c r="F9" s="6">
        <f>'Data Sheet'!F46</f>
        <v>0</v>
      </c>
      <c r="G9" s="6">
        <f>'Data Sheet'!G46</f>
        <v>0</v>
      </c>
      <c r="H9" s="6">
        <f>'Data Sheet'!H46</f>
        <v>0</v>
      </c>
      <c r="I9" s="6">
        <f>'Data Sheet'!I46</f>
        <v>0</v>
      </c>
      <c r="J9" s="6">
        <f>'Data Sheet'!J46</f>
        <v>0</v>
      </c>
      <c r="K9" s="6">
        <f>'Data Sheet'!K46</f>
        <v>0</v>
      </c>
    </row>
    <row r="10" spans="1:11" x14ac:dyDescent="0.3">
      <c r="A10" t="s">
        <v>12</v>
      </c>
      <c r="B10" s="6">
        <f>'Data Sheet'!B47</f>
        <v>0</v>
      </c>
      <c r="C10" s="6">
        <f>'Data Sheet'!C47</f>
        <v>0</v>
      </c>
      <c r="D10" s="6">
        <f>'Data Sheet'!D47</f>
        <v>0</v>
      </c>
      <c r="E10" s="6">
        <f>'Data Sheet'!E47</f>
        <v>0</v>
      </c>
      <c r="F10" s="6">
        <f>'Data Sheet'!F47</f>
        <v>0</v>
      </c>
      <c r="G10" s="6">
        <f>'Data Sheet'!G47</f>
        <v>0</v>
      </c>
      <c r="H10" s="6">
        <f>'Data Sheet'!H47</f>
        <v>0</v>
      </c>
      <c r="I10" s="6">
        <f>'Data Sheet'!I47</f>
        <v>0</v>
      </c>
      <c r="J10" s="6">
        <f>'Data Sheet'!J47</f>
        <v>0</v>
      </c>
      <c r="K10" s="6">
        <f>'Data Sheet'!K47</f>
        <v>0</v>
      </c>
    </row>
    <row r="11" spans="1:11" x14ac:dyDescent="0.3">
      <c r="A11" t="s">
        <v>13</v>
      </c>
      <c r="B11" s="6">
        <f>'Data Sheet'!B48</f>
        <v>0</v>
      </c>
      <c r="C11" s="6">
        <f>'Data Sheet'!C48</f>
        <v>0</v>
      </c>
      <c r="D11" s="6">
        <f>'Data Sheet'!D48</f>
        <v>0</v>
      </c>
      <c r="E11" s="6">
        <f>'Data Sheet'!E48</f>
        <v>0</v>
      </c>
      <c r="F11" s="6">
        <f>'Data Sheet'!F48</f>
        <v>0</v>
      </c>
      <c r="G11" s="6">
        <f>'Data Sheet'!G48</f>
        <v>0</v>
      </c>
      <c r="H11" s="6">
        <f>'Data Sheet'!H48</f>
        <v>0</v>
      </c>
      <c r="I11" s="6">
        <f>'Data Sheet'!I48</f>
        <v>0</v>
      </c>
      <c r="J11" s="6">
        <f>'Data Sheet'!J48</f>
        <v>0</v>
      </c>
      <c r="K11" s="6">
        <f>'Data Sheet'!K48</f>
        <v>0</v>
      </c>
    </row>
    <row r="12" spans="1:11" s="2" customFormat="1" x14ac:dyDescent="0.3">
      <c r="A12" s="2" t="s">
        <v>14</v>
      </c>
      <c r="B12" s="1">
        <f>'Data Sheet'!B49</f>
        <v>0</v>
      </c>
      <c r="C12" s="1">
        <f>'Data Sheet'!C49</f>
        <v>0</v>
      </c>
      <c r="D12" s="1">
        <f>'Data Sheet'!D49</f>
        <v>0</v>
      </c>
      <c r="E12" s="1">
        <f>'Data Sheet'!E49</f>
        <v>0</v>
      </c>
      <c r="F12" s="1">
        <f>'Data Sheet'!F49</f>
        <v>0</v>
      </c>
      <c r="G12" s="1">
        <f>'Data Sheet'!G49</f>
        <v>0</v>
      </c>
      <c r="H12" s="1">
        <f>'Data Sheet'!H49</f>
        <v>0</v>
      </c>
      <c r="I12" s="1">
        <f>'Data Sheet'!I49</f>
        <v>0</v>
      </c>
      <c r="J12" s="1">
        <f>'Data Sheet'!J49</f>
        <v>0</v>
      </c>
      <c r="K12" s="1">
        <f>'Data Sheet'!K49</f>
        <v>0</v>
      </c>
    </row>
    <row r="14" spans="1:11" s="2" customFormat="1" x14ac:dyDescent="0.3">
      <c r="A14" s="2" t="s">
        <v>18</v>
      </c>
      <c r="B14" s="7" t="str">
        <f>IF(B4&gt;0,B6/B4,"")</f>
        <v/>
      </c>
      <c r="C14" s="7" t="str">
        <f t="shared" ref="C14:K14" si="0">IF(C4&gt;0,C6/C4,"")</f>
        <v/>
      </c>
      <c r="D14" s="7" t="str">
        <f t="shared" si="0"/>
        <v/>
      </c>
      <c r="E14" s="7" t="str">
        <f t="shared" si="0"/>
        <v/>
      </c>
      <c r="F14" s="7" t="str">
        <f t="shared" si="0"/>
        <v/>
      </c>
      <c r="G14" s="7" t="str">
        <f t="shared" si="0"/>
        <v/>
      </c>
      <c r="H14" s="7" t="str">
        <f t="shared" si="0"/>
        <v/>
      </c>
      <c r="I14" s="7" t="str">
        <f t="shared" si="0"/>
        <v/>
      </c>
      <c r="J14" s="7" t="str">
        <f t="shared" si="0"/>
        <v/>
      </c>
      <c r="K14" s="7" t="str">
        <f t="shared" si="0"/>
        <v/>
      </c>
    </row>
    <row r="22" s="16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J4" sqref="J4:J21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AXIS BANK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8" t="s">
        <v>2</v>
      </c>
      <c r="B3" s="9">
        <f>'Data Sheet'!B56</f>
        <v>42825</v>
      </c>
      <c r="C3" s="9">
        <f>'Data Sheet'!C56</f>
        <v>43190</v>
      </c>
      <c r="D3" s="9">
        <f>'Data Sheet'!D56</f>
        <v>43555</v>
      </c>
      <c r="E3" s="9">
        <f>'Data Sheet'!E56</f>
        <v>43921</v>
      </c>
      <c r="F3" s="9">
        <f>'Data Sheet'!F56</f>
        <v>44286</v>
      </c>
      <c r="G3" s="9">
        <f>'Data Sheet'!G56</f>
        <v>44651</v>
      </c>
      <c r="H3" s="9">
        <f>'Data Sheet'!H56</f>
        <v>45016</v>
      </c>
      <c r="I3" s="9">
        <f>'Data Sheet'!I56</f>
        <v>45382</v>
      </c>
      <c r="J3" s="9">
        <f>'Data Sheet'!J56</f>
        <v>45747</v>
      </c>
      <c r="K3" s="9">
        <f>'Data Sheet'!K56</f>
        <v>46112</v>
      </c>
    </row>
    <row r="4" spans="1:11" x14ac:dyDescent="0.3">
      <c r="A4" t="s">
        <v>22</v>
      </c>
      <c r="B4" s="11">
        <f>'Data Sheet'!B57</f>
        <v>0</v>
      </c>
      <c r="C4" s="11">
        <f>'Data Sheet'!C57</f>
        <v>0</v>
      </c>
      <c r="D4" s="11">
        <f>'Data Sheet'!D57</f>
        <v>0</v>
      </c>
      <c r="E4" s="11"/>
      <c r="F4" s="11"/>
      <c r="G4" s="11">
        <f>'Data Sheet'!G57</f>
        <v>0</v>
      </c>
      <c r="H4" s="11">
        <f>'Data Sheet'!H57</f>
        <v>0</v>
      </c>
      <c r="I4" s="11">
        <f>'Data Sheet'!I57</f>
        <v>0</v>
      </c>
      <c r="J4" s="11"/>
      <c r="K4" s="11"/>
    </row>
    <row r="5" spans="1:11" x14ac:dyDescent="0.3">
      <c r="A5" t="s">
        <v>23</v>
      </c>
      <c r="B5" s="11">
        <f>'Data Sheet'!B58</f>
        <v>0</v>
      </c>
      <c r="C5" s="11">
        <f>'Data Sheet'!C58</f>
        <v>0</v>
      </c>
      <c r="D5" s="11">
        <f>'Data Sheet'!D58</f>
        <v>0</v>
      </c>
      <c r="E5" s="11"/>
      <c r="F5" s="11"/>
      <c r="G5" s="11">
        <f>'Data Sheet'!G58</f>
        <v>0</v>
      </c>
      <c r="H5" s="11">
        <f>'Data Sheet'!H58</f>
        <v>0</v>
      </c>
      <c r="I5" s="11">
        <f>'Data Sheet'!I58</f>
        <v>0</v>
      </c>
      <c r="J5" s="11"/>
      <c r="K5" s="11"/>
    </row>
    <row r="6" spans="1:11" x14ac:dyDescent="0.3">
      <c r="A6" t="s">
        <v>60</v>
      </c>
      <c r="B6" s="11">
        <f>'Data Sheet'!B59</f>
        <v>0</v>
      </c>
      <c r="C6" s="11">
        <f>'Data Sheet'!C59</f>
        <v>0</v>
      </c>
      <c r="D6" s="11">
        <f>'Data Sheet'!D59</f>
        <v>0</v>
      </c>
      <c r="E6" s="11"/>
      <c r="F6" s="11"/>
      <c r="G6" s="11">
        <f>'Data Sheet'!G59</f>
        <v>0</v>
      </c>
      <c r="H6" s="11">
        <f>'Data Sheet'!H59</f>
        <v>0</v>
      </c>
      <c r="I6" s="11">
        <f>'Data Sheet'!I59</f>
        <v>0</v>
      </c>
      <c r="J6" s="11"/>
      <c r="K6" s="11"/>
    </row>
    <row r="7" spans="1:11" x14ac:dyDescent="0.3">
      <c r="A7" t="s">
        <v>61</v>
      </c>
      <c r="B7" s="11">
        <f>'Data Sheet'!B60</f>
        <v>0</v>
      </c>
      <c r="C7" s="11">
        <f>'Data Sheet'!C60</f>
        <v>0</v>
      </c>
      <c r="D7" s="11">
        <f>'Data Sheet'!D60</f>
        <v>0</v>
      </c>
      <c r="E7" s="11"/>
      <c r="F7" s="11"/>
      <c r="G7" s="11">
        <f>'Data Sheet'!G60</f>
        <v>0</v>
      </c>
      <c r="H7" s="11">
        <f>'Data Sheet'!H60</f>
        <v>0</v>
      </c>
      <c r="I7" s="11">
        <f>'Data Sheet'!I60</f>
        <v>0</v>
      </c>
      <c r="J7" s="11"/>
      <c r="K7" s="11"/>
    </row>
    <row r="8" spans="1:11" s="2" customFormat="1" x14ac:dyDescent="0.3">
      <c r="A8" s="2" t="s">
        <v>24</v>
      </c>
      <c r="B8" s="12">
        <f>'Data Sheet'!B61</f>
        <v>0</v>
      </c>
      <c r="C8" s="12">
        <f>'Data Sheet'!C61</f>
        <v>0</v>
      </c>
      <c r="D8" s="12">
        <f>'Data Sheet'!D61</f>
        <v>0</v>
      </c>
      <c r="E8" s="11"/>
      <c r="F8" s="11"/>
      <c r="G8" s="12">
        <f>'Data Sheet'!G61</f>
        <v>0</v>
      </c>
      <c r="H8" s="12">
        <f>'Data Sheet'!H61</f>
        <v>0</v>
      </c>
      <c r="I8" s="12">
        <f>'Data Sheet'!I61</f>
        <v>0</v>
      </c>
      <c r="J8" s="11"/>
      <c r="K8" s="11"/>
    </row>
    <row r="9" spans="1:11" s="2" customFormat="1" x14ac:dyDescent="0.3">
      <c r="B9" s="12"/>
      <c r="C9" s="12"/>
      <c r="D9" s="12"/>
      <c r="E9" s="11"/>
      <c r="F9" s="11"/>
      <c r="G9" s="12"/>
      <c r="H9" s="12"/>
      <c r="I9" s="12"/>
      <c r="J9" s="11"/>
      <c r="K9" s="11"/>
    </row>
    <row r="10" spans="1:11" x14ac:dyDescent="0.3">
      <c r="A10" t="s">
        <v>25</v>
      </c>
      <c r="B10" s="11">
        <f>'Data Sheet'!B62</f>
        <v>0</v>
      </c>
      <c r="C10" s="11">
        <f>'Data Sheet'!C62</f>
        <v>0</v>
      </c>
      <c r="D10" s="11">
        <f>'Data Sheet'!D62</f>
        <v>0</v>
      </c>
      <c r="E10" s="11"/>
      <c r="F10" s="11"/>
      <c r="G10" s="11">
        <f>'Data Sheet'!G62</f>
        <v>0</v>
      </c>
      <c r="H10" s="11">
        <f>'Data Sheet'!H62</f>
        <v>0</v>
      </c>
      <c r="I10" s="11">
        <f>'Data Sheet'!I62</f>
        <v>0</v>
      </c>
      <c r="J10" s="11"/>
      <c r="K10" s="11"/>
    </row>
    <row r="11" spans="1:11" x14ac:dyDescent="0.3">
      <c r="A11" t="s">
        <v>26</v>
      </c>
      <c r="B11" s="11">
        <f>'Data Sheet'!B63</f>
        <v>0</v>
      </c>
      <c r="C11" s="11">
        <f>'Data Sheet'!C63</f>
        <v>0</v>
      </c>
      <c r="D11" s="11">
        <f>'Data Sheet'!D63</f>
        <v>0</v>
      </c>
      <c r="E11" s="11"/>
      <c r="F11" s="11"/>
      <c r="G11" s="11">
        <f>'Data Sheet'!G63</f>
        <v>0</v>
      </c>
      <c r="H11" s="11">
        <f>'Data Sheet'!H63</f>
        <v>0</v>
      </c>
      <c r="I11" s="11">
        <f>'Data Sheet'!I63</f>
        <v>0</v>
      </c>
      <c r="J11" s="11"/>
      <c r="K11" s="11"/>
    </row>
    <row r="12" spans="1:11" x14ac:dyDescent="0.3">
      <c r="A12" t="s">
        <v>27</v>
      </c>
      <c r="B12" s="11">
        <f>'Data Sheet'!B64</f>
        <v>0</v>
      </c>
      <c r="C12" s="11">
        <f>'Data Sheet'!C64</f>
        <v>0</v>
      </c>
      <c r="D12" s="11">
        <f>'Data Sheet'!D64</f>
        <v>0</v>
      </c>
      <c r="E12" s="11"/>
      <c r="F12" s="11"/>
      <c r="G12" s="11">
        <f>'Data Sheet'!G64</f>
        <v>0</v>
      </c>
      <c r="H12" s="11">
        <f>'Data Sheet'!H64</f>
        <v>0</v>
      </c>
      <c r="I12" s="11">
        <f>'Data Sheet'!I64</f>
        <v>0</v>
      </c>
      <c r="J12" s="11"/>
      <c r="K12" s="11"/>
    </row>
    <row r="13" spans="1:11" x14ac:dyDescent="0.3">
      <c r="A13" t="s">
        <v>62</v>
      </c>
      <c r="B13" s="11">
        <f>'Data Sheet'!B65</f>
        <v>0</v>
      </c>
      <c r="C13" s="11">
        <f>'Data Sheet'!C65</f>
        <v>0</v>
      </c>
      <c r="D13" s="11">
        <f>'Data Sheet'!D65</f>
        <v>0</v>
      </c>
      <c r="E13" s="11"/>
      <c r="F13" s="11"/>
      <c r="G13" s="11">
        <f>'Data Sheet'!G65</f>
        <v>0</v>
      </c>
      <c r="H13" s="11">
        <f>'Data Sheet'!H65</f>
        <v>0</v>
      </c>
      <c r="I13" s="11">
        <f>'Data Sheet'!I65</f>
        <v>0</v>
      </c>
      <c r="J13" s="11"/>
      <c r="K13" s="11"/>
    </row>
    <row r="14" spans="1:11" s="2" customFormat="1" x14ac:dyDescent="0.3">
      <c r="A14" s="2" t="s">
        <v>24</v>
      </c>
      <c r="B14" s="11">
        <f>'Data Sheet'!B66</f>
        <v>0</v>
      </c>
      <c r="C14" s="11">
        <f>'Data Sheet'!C66</f>
        <v>0</v>
      </c>
      <c r="D14" s="11">
        <f>'Data Sheet'!D66</f>
        <v>0</v>
      </c>
      <c r="E14" s="11"/>
      <c r="F14" s="11"/>
      <c r="G14" s="11">
        <f>'Data Sheet'!G66</f>
        <v>0</v>
      </c>
      <c r="H14" s="11">
        <f>'Data Sheet'!H66</f>
        <v>0</v>
      </c>
      <c r="I14" s="11">
        <f>'Data Sheet'!I66</f>
        <v>0</v>
      </c>
      <c r="J14" s="11"/>
      <c r="K14" s="11"/>
    </row>
    <row r="15" spans="1:11" x14ac:dyDescent="0.3">
      <c r="B15" s="4"/>
      <c r="C15" s="4"/>
      <c r="D15" s="4"/>
      <c r="E15" s="11"/>
      <c r="F15" s="11"/>
      <c r="G15" s="4"/>
      <c r="H15" s="4"/>
      <c r="I15" s="4"/>
      <c r="J15" s="11"/>
      <c r="K15" s="11"/>
    </row>
    <row r="16" spans="1:11" x14ac:dyDescent="0.3">
      <c r="A16" t="s">
        <v>28</v>
      </c>
      <c r="B16" s="4">
        <f>B13-B7</f>
        <v>0</v>
      </c>
      <c r="C16" s="4">
        <f t="shared" ref="C16:K16" si="0">C13-C7</f>
        <v>0</v>
      </c>
      <c r="D16" s="4">
        <f t="shared" si="0"/>
        <v>0</v>
      </c>
      <c r="E16" s="11"/>
      <c r="F16" s="11"/>
      <c r="G16" s="4">
        <f t="shared" si="0"/>
        <v>0</v>
      </c>
      <c r="H16" s="4">
        <f t="shared" si="0"/>
        <v>0</v>
      </c>
      <c r="I16" s="4">
        <f t="shared" si="0"/>
        <v>0</v>
      </c>
      <c r="J16" s="11"/>
      <c r="K16" s="11"/>
    </row>
    <row r="17" spans="1:11" x14ac:dyDescent="0.3">
      <c r="A17" t="s">
        <v>42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11"/>
      <c r="F17" s="11"/>
      <c r="G17" s="4">
        <f>'Data Sheet'!G67</f>
        <v>0</v>
      </c>
      <c r="H17" s="4">
        <f>'Data Sheet'!H67</f>
        <v>0</v>
      </c>
      <c r="I17" s="4">
        <f>'Data Sheet'!I67</f>
        <v>0</v>
      </c>
      <c r="J17" s="11"/>
      <c r="K17" s="11"/>
    </row>
    <row r="18" spans="1:11" x14ac:dyDescent="0.3">
      <c r="A18" t="s">
        <v>43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11"/>
      <c r="F18" s="11"/>
      <c r="G18" s="4">
        <f>'Data Sheet'!G68</f>
        <v>0</v>
      </c>
      <c r="H18" s="4">
        <f>'Data Sheet'!H68</f>
        <v>0</v>
      </c>
      <c r="I18" s="4">
        <f>'Data Sheet'!I68</f>
        <v>0</v>
      </c>
      <c r="J18" s="11"/>
      <c r="K18" s="11"/>
    </row>
    <row r="19" spans="1:11" x14ac:dyDescent="0.3">
      <c r="E19" s="11"/>
      <c r="F19" s="11"/>
      <c r="J19" s="11"/>
      <c r="K19" s="11"/>
    </row>
    <row r="20" spans="1:11" x14ac:dyDescent="0.3">
      <c r="A20" t="s">
        <v>44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11"/>
      <c r="F20" s="11"/>
      <c r="G20" s="4">
        <f>IF('Profit &amp; Loss'!G4&gt;0,'Balance Sheet'!G17/('Profit &amp; Loss'!G4/365),0)</f>
        <v>0</v>
      </c>
      <c r="H20" s="4">
        <f>IF('Profit &amp; Loss'!H4&gt;0,'Balance Sheet'!H17/('Profit &amp; Loss'!H4/365),0)</f>
        <v>0</v>
      </c>
      <c r="I20" s="4">
        <f>IF('Profit &amp; Loss'!I4&gt;0,'Balance Sheet'!I17/('Profit &amp; Loss'!I4/365),0)</f>
        <v>0</v>
      </c>
      <c r="J20" s="11"/>
      <c r="K20" s="11"/>
    </row>
    <row r="21" spans="1:11" x14ac:dyDescent="0.3">
      <c r="A21" t="s">
        <v>45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11"/>
      <c r="F21" s="11"/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11"/>
      <c r="K21" s="11"/>
    </row>
    <row r="22" spans="1:11" x14ac:dyDescent="0.3">
      <c r="E22" s="11"/>
    </row>
    <row r="23" spans="1:11" s="2" customFormat="1" x14ac:dyDescent="0.3">
      <c r="A23" s="2" t="s">
        <v>48</v>
      </c>
      <c r="B23" s="7" t="str">
        <f>IF(SUM('Balance Sheet'!B4:B5)&gt;0,'Profit &amp; Loss'!B12/SUM('Balance Sheet'!B4:B5),"")</f>
        <v/>
      </c>
      <c r="C23" s="7" t="str">
        <f>IF(SUM('Balance Sheet'!C4:C5)&gt;0,'Profit &amp; Loss'!C12/SUM('Balance Sheet'!C4:C5),"")</f>
        <v/>
      </c>
      <c r="D23" s="7" t="str">
        <f>IF(SUM('Balance Sheet'!D4:D5)&gt;0,'Profit &amp; Loss'!D12/SUM('Balance Sheet'!D4:D5),"")</f>
        <v/>
      </c>
      <c r="E23" s="11"/>
      <c r="F23" s="7" t="str">
        <f>IF(SUM('Balance Sheet'!F4:F5)&gt;0,'Profit &amp; Loss'!F12/SUM('Balance Sheet'!F4:F5),"")</f>
        <v/>
      </c>
      <c r="G23" s="7" t="str">
        <f>IF(SUM('Balance Sheet'!G4:G5)&gt;0,'Profit &amp; Loss'!G12/SUM('Balance Sheet'!G4:G5),"")</f>
        <v/>
      </c>
      <c r="H23" s="7" t="str">
        <f>IF(SUM('Balance Sheet'!H4:H5)&gt;0,'Profit &amp; Loss'!H12/SUM('Balance Sheet'!H4:H5),"")</f>
        <v/>
      </c>
      <c r="I23" s="7" t="str">
        <f>IF(SUM('Balance Sheet'!I4:I5)&gt;0,'Profit &amp; Loss'!I12/SUM('Balance Sheet'!I4:I5),"")</f>
        <v/>
      </c>
      <c r="J23" s="7" t="str">
        <f>IF(SUM('Balance Sheet'!J4:J5)&gt;0,'Profit &amp; Loss'!J12/SUM('Balance Sheet'!J4:J5),"")</f>
        <v/>
      </c>
      <c r="K23" s="7" t="str">
        <f>IF(SUM('Balance Sheet'!K4:K5)&gt;0,'Profit &amp; Loss'!K12/SUM('Balance Sheet'!K4:K5),"")</f>
        <v/>
      </c>
    </row>
    <row r="24" spans="1:11" s="2" customFormat="1" x14ac:dyDescent="0.3">
      <c r="A24" s="2" t="s">
        <v>49</v>
      </c>
      <c r="B24" s="7"/>
      <c r="C24" s="7" t="str">
        <f>IF((B4+B5+B6+C4+C5+C6)&gt;0,('Profit &amp; Loss'!C10+'Profit &amp; Loss'!C9)*2/(B4+B5+B6+C4+C5+C6),"")</f>
        <v/>
      </c>
      <c r="D24" s="7" t="str">
        <f>IF((C4+C5+C6+D4+D5+D6)&gt;0,('Profit &amp; Loss'!D10+'Profit &amp; Loss'!D9)*2/(C4+C5+C6+D4+D5+D6),"")</f>
        <v/>
      </c>
      <c r="E24" s="7" t="str">
        <f>IF((D4+D5+D6+E4+E5+E6)&gt;0,('Profit &amp; Loss'!E10+'Profit &amp; Loss'!E9)*2/(D4+D5+D6+E4+E5+E6),"")</f>
        <v/>
      </c>
      <c r="F24" s="7" t="str">
        <f>IF((E4+E5+E6+F4+F5+F6)&gt;0,('Profit &amp; Loss'!F10+'Profit &amp; Loss'!F9)*2/(E4+E5+E6+F4+F5+F6),"")</f>
        <v/>
      </c>
      <c r="G24" s="7" t="str">
        <f>IF((F4+F5+F6+G4+G5+G6)&gt;0,('Profit &amp; Loss'!G10+'Profit &amp; Loss'!G9)*2/(F4+F5+F6+G4+G5+G6),"")</f>
        <v/>
      </c>
      <c r="H24" s="7" t="str">
        <f>IF((G4+G5+G6+H4+H5+H6)&gt;0,('Profit &amp; Loss'!H10+'Profit &amp; Loss'!H9)*2/(G4+G5+G6+H4+H5+H6),"")</f>
        <v/>
      </c>
      <c r="I24" s="7" t="str">
        <f>IF((H4+H5+H6+I4+I5+I6)&gt;0,('Profit &amp; Loss'!I10+'Profit &amp; Loss'!I9)*2/(H4+H5+H6+I4+I5+I6),"")</f>
        <v/>
      </c>
      <c r="J24" s="7" t="str">
        <f>IF((I4+I5+I6+J4+J5+J6)&gt;0,('Profit &amp; Loss'!J10+'Profit &amp; Loss'!J9)*2/(I4+I5+I6+J4+J5+J6),"")</f>
        <v/>
      </c>
      <c r="K24" s="7" t="str">
        <f>IF((J4+J5+J6+K4+K5+K6)&gt;0,('Profit &amp; Loss'!K10+'Profit &amp; Loss'!K9)*2/(J4+J5+J6+K4+K5+K6),"")</f>
        <v/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G4" sqref="G4:K7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AXIS BANK LTD</v>
      </c>
      <c r="E1" t="str">
        <f>UPDATE</f>
        <v/>
      </c>
      <c r="F1"/>
      <c r="J1" s="2" t="s">
        <v>1</v>
      </c>
    </row>
    <row r="3" spans="1:11" s="2" customFormat="1" x14ac:dyDescent="0.3">
      <c r="A3" s="8" t="s">
        <v>2</v>
      </c>
      <c r="B3" s="9">
        <f>'Data Sheet'!B81</f>
        <v>42825</v>
      </c>
      <c r="C3" s="9">
        <f>'Data Sheet'!C81</f>
        <v>43190</v>
      </c>
      <c r="D3" s="9">
        <f>'Data Sheet'!D81</f>
        <v>43555</v>
      </c>
      <c r="E3" s="9">
        <f>'Data Sheet'!E81</f>
        <v>43921</v>
      </c>
      <c r="F3" s="9">
        <f>'Data Sheet'!F81</f>
        <v>44286</v>
      </c>
      <c r="G3" s="9">
        <f>'Data Sheet'!G81</f>
        <v>44651</v>
      </c>
      <c r="H3" s="9">
        <f>'Data Sheet'!H81</f>
        <v>45016</v>
      </c>
      <c r="I3" s="9">
        <f>'Data Sheet'!I81</f>
        <v>45382</v>
      </c>
      <c r="J3" s="9">
        <f>'Data Sheet'!J81</f>
        <v>45747</v>
      </c>
      <c r="K3" s="9">
        <f>'Data Sheet'!K81</f>
        <v>46112</v>
      </c>
    </row>
    <row r="4" spans="1:11" s="2" customFormat="1" x14ac:dyDescent="0.3">
      <c r="A4" s="2" t="s">
        <v>30</v>
      </c>
      <c r="B4" s="1">
        <f>'Data Sheet'!B82</f>
        <v>32208.62</v>
      </c>
      <c r="C4" s="1">
        <f>'Data Sheet'!C82</f>
        <v>-38390.300000000003</v>
      </c>
      <c r="D4" s="1">
        <f>'Data Sheet'!D82</f>
        <v>37125.25</v>
      </c>
      <c r="E4" s="1"/>
      <c r="F4" s="1"/>
      <c r="G4" s="1"/>
      <c r="H4" s="1"/>
      <c r="I4" s="1"/>
      <c r="J4" s="1"/>
      <c r="K4" s="1"/>
    </row>
    <row r="5" spans="1:11" x14ac:dyDescent="0.3">
      <c r="A5" t="s">
        <v>31</v>
      </c>
      <c r="B5" s="6">
        <f>'Data Sheet'!B83</f>
        <v>-12458.4</v>
      </c>
      <c r="C5" s="6">
        <f>'Data Sheet'!C83</f>
        <v>-10007.1</v>
      </c>
      <c r="D5" s="6">
        <f>'Data Sheet'!D83</f>
        <v>-18674.349999999999</v>
      </c>
      <c r="E5" s="6"/>
      <c r="F5" s="6"/>
      <c r="G5" s="6"/>
      <c r="H5" s="6"/>
      <c r="I5" s="6"/>
      <c r="J5" s="6"/>
      <c r="K5" s="6"/>
    </row>
    <row r="6" spans="1:11" x14ac:dyDescent="0.3">
      <c r="A6" t="s">
        <v>32</v>
      </c>
      <c r="B6" s="6">
        <f>'Data Sheet'!B84</f>
        <v>-2486.91</v>
      </c>
      <c r="C6" s="6">
        <f>'Data Sheet'!C84</f>
        <v>41342.089999999997</v>
      </c>
      <c r="D6" s="6">
        <f>'Data Sheet'!D84</f>
        <v>5642.6</v>
      </c>
      <c r="E6" s="6"/>
      <c r="F6" s="6"/>
      <c r="G6" s="6"/>
      <c r="H6" s="6"/>
      <c r="I6" s="6"/>
      <c r="J6" s="6"/>
      <c r="K6" s="6"/>
    </row>
    <row r="7" spans="1:11" s="2" customFormat="1" x14ac:dyDescent="0.3">
      <c r="A7" s="2" t="s">
        <v>33</v>
      </c>
      <c r="B7" s="1">
        <f>'Data Sheet'!B85</f>
        <v>17263.310000000001</v>
      </c>
      <c r="C7" s="1">
        <f>'Data Sheet'!C85</f>
        <v>-7055.3</v>
      </c>
      <c r="D7" s="1">
        <f>'Data Sheet'!D85</f>
        <v>24093.5</v>
      </c>
      <c r="E7" s="1"/>
      <c r="F7" s="1"/>
      <c r="G7" s="1"/>
      <c r="H7" s="1"/>
      <c r="I7" s="1"/>
      <c r="J7" s="1"/>
      <c r="K7" s="1"/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14" activePane="bottomRight" state="frozen"/>
      <selection activeCell="C4" sqref="C4"/>
      <selection pane="topRight" activeCell="C4" sqref="C4"/>
      <selection pane="bottomLeft" activeCell="C4" sqref="C4"/>
      <selection pane="bottomRight" activeCell="K17" sqref="K17:K3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52</v>
      </c>
      <c r="E1" s="18" t="str">
        <f>IF(B2&lt;&gt;B3, "A NEW VERSION OF THE WORKSHEET IS AVAILABLE", "")</f>
        <v/>
      </c>
      <c r="F1" s="18"/>
      <c r="G1" s="18"/>
      <c r="H1" s="18"/>
      <c r="I1" s="18"/>
      <c r="J1" s="18"/>
      <c r="K1" s="18"/>
    </row>
    <row r="2" spans="1:11" x14ac:dyDescent="0.3">
      <c r="A2" s="1" t="s">
        <v>50</v>
      </c>
      <c r="B2" s="4">
        <v>2.1</v>
      </c>
      <c r="E2" s="19" t="s">
        <v>34</v>
      </c>
      <c r="F2" s="19"/>
      <c r="G2" s="19"/>
      <c r="H2" s="19"/>
      <c r="I2" s="19"/>
      <c r="J2" s="19"/>
      <c r="K2" s="19"/>
    </row>
    <row r="3" spans="1:11" x14ac:dyDescent="0.3">
      <c r="A3" s="1" t="s">
        <v>51</v>
      </c>
      <c r="B3" s="4">
        <v>2.1</v>
      </c>
    </row>
    <row r="4" spans="1:11" x14ac:dyDescent="0.3">
      <c r="A4" s="1"/>
    </row>
    <row r="5" spans="1:11" x14ac:dyDescent="0.3">
      <c r="A5" s="1" t="s">
        <v>53</v>
      </c>
    </row>
    <row r="6" spans="1:11" x14ac:dyDescent="0.3">
      <c r="A6" s="4" t="s">
        <v>40</v>
      </c>
      <c r="B6" s="4">
        <f>IF(B9&gt;0, B9/B8, 0)</f>
        <v>311.13633204170492</v>
      </c>
    </row>
    <row r="7" spans="1:11" x14ac:dyDescent="0.3">
      <c r="A7" s="4" t="s">
        <v>29</v>
      </c>
      <c r="B7">
        <v>2</v>
      </c>
    </row>
    <row r="8" spans="1:11" x14ac:dyDescent="0.3">
      <c r="A8" s="4" t="s">
        <v>41</v>
      </c>
      <c r="B8">
        <v>1251.6500000000001</v>
      </c>
    </row>
    <row r="9" spans="1:11" x14ac:dyDescent="0.3">
      <c r="A9" s="4" t="s">
        <v>68</v>
      </c>
      <c r="B9">
        <v>389433.79</v>
      </c>
    </row>
    <row r="15" spans="1:11" x14ac:dyDescent="0.3">
      <c r="A15" s="1" t="s">
        <v>35</v>
      </c>
    </row>
    <row r="16" spans="1:11" s="15" customFormat="1" x14ac:dyDescent="0.3">
      <c r="A16" s="14" t="s">
        <v>36</v>
      </c>
      <c r="B16" s="9">
        <v>42825</v>
      </c>
      <c r="C16" s="9">
        <v>43190</v>
      </c>
      <c r="D16" s="9">
        <v>43555</v>
      </c>
      <c r="E16" s="9">
        <v>43921</v>
      </c>
      <c r="F16" s="9">
        <v>44286</v>
      </c>
      <c r="G16" s="9">
        <v>44651</v>
      </c>
      <c r="H16" s="9">
        <v>45016</v>
      </c>
      <c r="I16" s="9">
        <v>45382</v>
      </c>
      <c r="J16" s="9">
        <v>45747</v>
      </c>
      <c r="K16" s="9">
        <v>46112</v>
      </c>
    </row>
    <row r="17" spans="1:11" s="6" customFormat="1" x14ac:dyDescent="0.3">
      <c r="A17" s="6" t="s">
        <v>6</v>
      </c>
      <c r="B17"/>
      <c r="C17"/>
      <c r="D17"/>
      <c r="E17"/>
      <c r="F17"/>
      <c r="G17"/>
      <c r="I17"/>
      <c r="J17"/>
      <c r="K17"/>
    </row>
    <row r="18" spans="1:11" s="6" customFormat="1" x14ac:dyDescent="0.3">
      <c r="A18" s="4" t="s">
        <v>69</v>
      </c>
      <c r="B18"/>
      <c r="C18"/>
      <c r="D18"/>
      <c r="E18"/>
      <c r="F18"/>
      <c r="G18"/>
      <c r="I18"/>
      <c r="J18"/>
      <c r="K18"/>
    </row>
    <row r="19" spans="1:11" s="6" customFormat="1" x14ac:dyDescent="0.3">
      <c r="A19" s="4" t="s">
        <v>70</v>
      </c>
      <c r="B19"/>
      <c r="C19"/>
      <c r="D19"/>
      <c r="E19"/>
      <c r="F19"/>
      <c r="G19"/>
      <c r="I19"/>
      <c r="J19"/>
      <c r="K19"/>
    </row>
    <row r="20" spans="1:11" s="6" customFormat="1" x14ac:dyDescent="0.3">
      <c r="A20" s="4" t="s">
        <v>71</v>
      </c>
      <c r="B20"/>
      <c r="C20"/>
      <c r="D20"/>
      <c r="E20"/>
      <c r="F20"/>
      <c r="G20"/>
      <c r="I20"/>
      <c r="J20"/>
      <c r="K20"/>
    </row>
    <row r="21" spans="1:11" s="6" customFormat="1" x14ac:dyDescent="0.3">
      <c r="A21" s="4" t="s">
        <v>72</v>
      </c>
      <c r="B21"/>
      <c r="C21"/>
      <c r="D21"/>
      <c r="E21"/>
      <c r="F21"/>
      <c r="G21"/>
      <c r="H21"/>
      <c r="I21"/>
      <c r="J21"/>
      <c r="K21"/>
    </row>
    <row r="22" spans="1:11" s="6" customFormat="1" x14ac:dyDescent="0.3">
      <c r="A22" s="4" t="s">
        <v>73</v>
      </c>
      <c r="B22"/>
      <c r="C22"/>
      <c r="D22"/>
      <c r="E22"/>
      <c r="F22"/>
      <c r="G22"/>
      <c r="H22"/>
      <c r="I22"/>
      <c r="J22"/>
      <c r="K22"/>
    </row>
    <row r="23" spans="1:11" s="6" customFormat="1" x14ac:dyDescent="0.3">
      <c r="A23" s="4" t="s">
        <v>74</v>
      </c>
      <c r="B23"/>
      <c r="C23"/>
      <c r="D23"/>
      <c r="E23"/>
      <c r="F23"/>
      <c r="G23"/>
      <c r="H23"/>
      <c r="I23"/>
      <c r="J23"/>
      <c r="K23"/>
    </row>
    <row r="24" spans="1:11" s="6" customFormat="1" x14ac:dyDescent="0.3">
      <c r="A24" s="4" t="s">
        <v>75</v>
      </c>
      <c r="B24"/>
      <c r="C24"/>
      <c r="D24"/>
      <c r="E24"/>
      <c r="F24"/>
      <c r="G24"/>
      <c r="H24"/>
      <c r="I24"/>
      <c r="J24"/>
      <c r="K24"/>
    </row>
    <row r="25" spans="1:11" s="6" customFormat="1" x14ac:dyDescent="0.3">
      <c r="A25" s="6" t="s">
        <v>9</v>
      </c>
      <c r="B25"/>
      <c r="C25"/>
      <c r="D25"/>
      <c r="E25"/>
      <c r="F25"/>
      <c r="G25"/>
      <c r="H25"/>
      <c r="I25"/>
      <c r="J25"/>
      <c r="K25"/>
    </row>
    <row r="26" spans="1:11" s="6" customFormat="1" x14ac:dyDescent="0.3">
      <c r="A26" s="6" t="s">
        <v>10</v>
      </c>
      <c r="B26"/>
      <c r="C26"/>
      <c r="D26"/>
      <c r="E26"/>
      <c r="F26"/>
      <c r="G26"/>
      <c r="H26"/>
      <c r="I26"/>
      <c r="J26"/>
      <c r="K26"/>
    </row>
    <row r="27" spans="1:11" s="6" customFormat="1" x14ac:dyDescent="0.3">
      <c r="A27" s="6" t="s">
        <v>11</v>
      </c>
      <c r="B27"/>
      <c r="C27"/>
      <c r="D27"/>
      <c r="E27"/>
      <c r="F27"/>
      <c r="G27"/>
      <c r="H27"/>
      <c r="I27"/>
      <c r="J27"/>
      <c r="K27"/>
    </row>
    <row r="28" spans="1:11" s="6" customFormat="1" x14ac:dyDescent="0.3">
      <c r="A28" s="6" t="s">
        <v>12</v>
      </c>
      <c r="B28"/>
      <c r="C28"/>
      <c r="D28"/>
      <c r="E28"/>
      <c r="F28"/>
      <c r="G28"/>
      <c r="H28"/>
      <c r="I28"/>
      <c r="J28"/>
      <c r="K28"/>
    </row>
    <row r="29" spans="1:11" s="6" customFormat="1" x14ac:dyDescent="0.3">
      <c r="A29" s="6" t="s">
        <v>13</v>
      </c>
      <c r="B29"/>
      <c r="C29"/>
      <c r="D29"/>
      <c r="E29"/>
      <c r="F29"/>
      <c r="G29"/>
      <c r="H29"/>
      <c r="I29"/>
      <c r="J29"/>
      <c r="K29"/>
    </row>
    <row r="30" spans="1:11" s="6" customFormat="1" x14ac:dyDescent="0.3">
      <c r="A30" s="6" t="s">
        <v>14</v>
      </c>
      <c r="B30"/>
      <c r="C30"/>
      <c r="D30"/>
      <c r="E30"/>
      <c r="F30"/>
      <c r="G30"/>
      <c r="H30"/>
      <c r="I30"/>
      <c r="J30"/>
      <c r="K30"/>
    </row>
    <row r="31" spans="1:11" s="6" customFormat="1" x14ac:dyDescent="0.3">
      <c r="A31" s="6" t="s">
        <v>59</v>
      </c>
      <c r="B31"/>
      <c r="D31"/>
      <c r="G31"/>
      <c r="H31"/>
      <c r="I31"/>
      <c r="J31"/>
      <c r="K31"/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5" customFormat="1" x14ac:dyDescent="0.3">
      <c r="A41" s="14" t="s">
        <v>36</v>
      </c>
      <c r="B41" s="9">
        <v>45382</v>
      </c>
      <c r="C41" s="9">
        <v>45473</v>
      </c>
      <c r="D41" s="9">
        <v>45565</v>
      </c>
      <c r="E41" s="9">
        <v>45657</v>
      </c>
      <c r="F41" s="9">
        <v>45747</v>
      </c>
      <c r="G41" s="9">
        <v>45838</v>
      </c>
      <c r="H41" s="9">
        <v>45930</v>
      </c>
      <c r="I41" s="9">
        <v>46022</v>
      </c>
      <c r="J41" s="9">
        <v>46112</v>
      </c>
      <c r="K41" s="9">
        <v>46203</v>
      </c>
    </row>
    <row r="42" spans="1:11" s="6" customFormat="1" x14ac:dyDescent="0.3">
      <c r="A42" s="6" t="s">
        <v>6</v>
      </c>
      <c r="B42"/>
      <c r="C42"/>
      <c r="D42"/>
      <c r="E42"/>
      <c r="F42"/>
      <c r="G42"/>
      <c r="H42"/>
      <c r="I42"/>
      <c r="J42"/>
      <c r="K42"/>
    </row>
    <row r="43" spans="1:11" s="6" customFormat="1" x14ac:dyDescent="0.3">
      <c r="A43" s="6" t="s">
        <v>7</v>
      </c>
      <c r="B43"/>
      <c r="C43"/>
      <c r="D43"/>
      <c r="E43"/>
      <c r="F43"/>
      <c r="G43"/>
      <c r="H43"/>
      <c r="I43"/>
      <c r="J43"/>
      <c r="K43"/>
    </row>
    <row r="44" spans="1:11" s="6" customFormat="1" x14ac:dyDescent="0.3">
      <c r="A44" s="6" t="s">
        <v>9</v>
      </c>
      <c r="B44"/>
      <c r="C44"/>
      <c r="D44"/>
      <c r="E44"/>
      <c r="F44"/>
      <c r="G44"/>
      <c r="H44"/>
      <c r="I44"/>
      <c r="J44"/>
      <c r="K44"/>
    </row>
    <row r="45" spans="1:11" s="6" customFormat="1" x14ac:dyDescent="0.3">
      <c r="A45" s="6" t="s">
        <v>10</v>
      </c>
    </row>
    <row r="46" spans="1:11" s="6" customFormat="1" x14ac:dyDescent="0.3">
      <c r="A46" s="6" t="s">
        <v>11</v>
      </c>
      <c r="B46"/>
      <c r="C46"/>
      <c r="D46"/>
      <c r="E46"/>
      <c r="F46"/>
      <c r="G46"/>
      <c r="H46"/>
      <c r="I46"/>
      <c r="J46"/>
      <c r="K46"/>
    </row>
    <row r="47" spans="1:11" s="6" customFormat="1" x14ac:dyDescent="0.3">
      <c r="A47" s="6" t="s">
        <v>12</v>
      </c>
      <c r="B47"/>
      <c r="C47"/>
      <c r="D47"/>
      <c r="E47"/>
      <c r="F47"/>
      <c r="G47"/>
      <c r="H47"/>
      <c r="I47"/>
      <c r="J47"/>
      <c r="K47"/>
    </row>
    <row r="48" spans="1:11" s="6" customFormat="1" x14ac:dyDescent="0.3">
      <c r="A48" s="6" t="s">
        <v>13</v>
      </c>
      <c r="B48"/>
      <c r="C48"/>
      <c r="D48"/>
      <c r="E48"/>
      <c r="F48"/>
      <c r="G48"/>
      <c r="H48"/>
      <c r="I48"/>
      <c r="J48"/>
      <c r="K48"/>
    </row>
    <row r="49" spans="1:11" s="6" customFormat="1" x14ac:dyDescent="0.3">
      <c r="A49" s="6" t="s">
        <v>14</v>
      </c>
      <c r="B49"/>
      <c r="C49"/>
      <c r="D49"/>
      <c r="E49"/>
      <c r="F49"/>
      <c r="G49"/>
      <c r="H49"/>
      <c r="I49"/>
      <c r="J49"/>
      <c r="K49"/>
    </row>
    <row r="50" spans="1:11" x14ac:dyDescent="0.3">
      <c r="A50" s="6" t="s">
        <v>8</v>
      </c>
      <c r="B50"/>
      <c r="C50"/>
      <c r="D50"/>
      <c r="E50"/>
      <c r="F50"/>
      <c r="G50"/>
      <c r="H50"/>
      <c r="I50"/>
      <c r="J50"/>
      <c r="K50"/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5" customFormat="1" x14ac:dyDescent="0.3">
      <c r="A56" s="14" t="s">
        <v>36</v>
      </c>
      <c r="B56" s="9">
        <v>42825</v>
      </c>
      <c r="C56" s="9">
        <v>43190</v>
      </c>
      <c r="D56" s="9">
        <v>43555</v>
      </c>
      <c r="E56" s="9">
        <v>43921</v>
      </c>
      <c r="F56" s="9">
        <v>44286</v>
      </c>
      <c r="G56" s="9">
        <v>44651</v>
      </c>
      <c r="H56" s="9">
        <v>45016</v>
      </c>
      <c r="I56" s="9">
        <v>45382</v>
      </c>
      <c r="J56" s="9">
        <v>45747</v>
      </c>
      <c r="K56" s="9">
        <v>46112</v>
      </c>
    </row>
    <row r="57" spans="1:11" x14ac:dyDescent="0.3">
      <c r="A57" s="6" t="s">
        <v>22</v>
      </c>
      <c r="B57"/>
      <c r="C57"/>
      <c r="D57"/>
      <c r="E57"/>
      <c r="F57"/>
      <c r="G57"/>
      <c r="H57"/>
      <c r="I57"/>
      <c r="J57"/>
      <c r="K57"/>
    </row>
    <row r="58" spans="1:11" x14ac:dyDescent="0.3">
      <c r="A58" s="6" t="s">
        <v>23</v>
      </c>
      <c r="B58"/>
      <c r="C58"/>
      <c r="D58"/>
      <c r="E58"/>
      <c r="F58"/>
      <c r="G58"/>
      <c r="H58"/>
      <c r="I58"/>
      <c r="J58"/>
      <c r="K58"/>
    </row>
    <row r="59" spans="1:11" x14ac:dyDescent="0.3">
      <c r="A59" s="6" t="s">
        <v>60</v>
      </c>
      <c r="B59"/>
      <c r="C59"/>
      <c r="D59"/>
      <c r="E59"/>
      <c r="F59"/>
      <c r="G59"/>
      <c r="H59"/>
      <c r="I59"/>
      <c r="J59"/>
      <c r="K59"/>
    </row>
    <row r="60" spans="1:11" x14ac:dyDescent="0.3">
      <c r="A60" s="6" t="s">
        <v>61</v>
      </c>
      <c r="B60"/>
      <c r="C60"/>
      <c r="D60"/>
      <c r="E60"/>
      <c r="F60"/>
      <c r="G60"/>
      <c r="H60"/>
      <c r="I60"/>
      <c r="J60"/>
      <c r="K60"/>
    </row>
    <row r="61" spans="1:11" s="1" customFormat="1" x14ac:dyDescent="0.3">
      <c r="A61" s="1" t="s">
        <v>24</v>
      </c>
      <c r="B61"/>
      <c r="C61"/>
      <c r="D61"/>
      <c r="E61"/>
      <c r="F61"/>
      <c r="G61"/>
      <c r="H61"/>
      <c r="I61"/>
      <c r="J61"/>
      <c r="K61"/>
    </row>
    <row r="62" spans="1:11" x14ac:dyDescent="0.3">
      <c r="A62" s="6" t="s">
        <v>25</v>
      </c>
      <c r="B62"/>
      <c r="C62"/>
      <c r="D62"/>
      <c r="E62"/>
      <c r="F62"/>
      <c r="G62"/>
      <c r="H62"/>
      <c r="I62"/>
      <c r="J62"/>
      <c r="K62"/>
    </row>
    <row r="63" spans="1:11" x14ac:dyDescent="0.3">
      <c r="A63" s="6" t="s">
        <v>26</v>
      </c>
      <c r="B63"/>
      <c r="C63"/>
      <c r="D63"/>
      <c r="E63"/>
      <c r="F63"/>
      <c r="G63"/>
      <c r="H63"/>
      <c r="I63"/>
      <c r="J63"/>
      <c r="K63"/>
    </row>
    <row r="64" spans="1:11" x14ac:dyDescent="0.3">
      <c r="A64" s="6" t="s">
        <v>27</v>
      </c>
      <c r="B64"/>
      <c r="C64"/>
      <c r="D64"/>
      <c r="E64"/>
      <c r="F64"/>
      <c r="G64"/>
      <c r="H64"/>
      <c r="I64"/>
      <c r="J64"/>
      <c r="K64"/>
    </row>
    <row r="65" spans="1:11" x14ac:dyDescent="0.3">
      <c r="A65" s="6" t="s">
        <v>62</v>
      </c>
      <c r="B65"/>
      <c r="C65"/>
      <c r="D65"/>
      <c r="E65"/>
      <c r="F65"/>
      <c r="G65"/>
      <c r="H65"/>
      <c r="I65"/>
      <c r="J65"/>
      <c r="K65"/>
    </row>
    <row r="66" spans="1:11" s="1" customFormat="1" x14ac:dyDescent="0.3">
      <c r="A66" s="1" t="s">
        <v>24</v>
      </c>
      <c r="B66"/>
      <c r="C66"/>
      <c r="D66"/>
      <c r="E66"/>
      <c r="F66"/>
      <c r="G66"/>
      <c r="H66"/>
      <c r="I66"/>
      <c r="J66"/>
      <c r="K66"/>
    </row>
    <row r="67" spans="1:11" s="6" customFormat="1" x14ac:dyDescent="0.3">
      <c r="A67" s="6" t="s">
        <v>67</v>
      </c>
      <c r="B67"/>
      <c r="C67"/>
      <c r="D67"/>
      <c r="E67"/>
      <c r="F67"/>
      <c r="G67"/>
      <c r="H67"/>
      <c r="I67"/>
      <c r="J67"/>
      <c r="K67"/>
    </row>
    <row r="68" spans="1:11" x14ac:dyDescent="0.3">
      <c r="A68" s="6" t="s">
        <v>43</v>
      </c>
      <c r="B68"/>
      <c r="C68"/>
      <c r="D68"/>
      <c r="E68"/>
      <c r="F68"/>
      <c r="G68"/>
      <c r="H68"/>
      <c r="I68"/>
      <c r="J68"/>
      <c r="K68"/>
    </row>
    <row r="69" spans="1:11" x14ac:dyDescent="0.3">
      <c r="A69" s="4" t="s">
        <v>76</v>
      </c>
      <c r="B69"/>
      <c r="C69"/>
      <c r="D69"/>
      <c r="E69"/>
      <c r="F69"/>
      <c r="G69"/>
      <c r="H69"/>
      <c r="I69"/>
      <c r="J69"/>
      <c r="K69"/>
    </row>
    <row r="70" spans="1:11" x14ac:dyDescent="0.3">
      <c r="A70" s="4" t="s">
        <v>63</v>
      </c>
      <c r="B70"/>
      <c r="C70"/>
      <c r="D70"/>
      <c r="E70"/>
      <c r="F70"/>
      <c r="G70"/>
      <c r="H70"/>
      <c r="I70"/>
      <c r="J70"/>
      <c r="K70"/>
    </row>
    <row r="71" spans="1:11" x14ac:dyDescent="0.3">
      <c r="A71" s="4" t="s">
        <v>64</v>
      </c>
      <c r="B71"/>
      <c r="C71"/>
      <c r="D71"/>
      <c r="E71"/>
      <c r="F71"/>
      <c r="G71"/>
      <c r="H71"/>
      <c r="I71"/>
      <c r="J71"/>
      <c r="K71"/>
    </row>
    <row r="72" spans="1:11" x14ac:dyDescent="0.3">
      <c r="A72" s="4" t="s">
        <v>77</v>
      </c>
      <c r="B72"/>
      <c r="C72"/>
      <c r="D72"/>
      <c r="E72"/>
      <c r="F72"/>
      <c r="G72"/>
      <c r="H72"/>
      <c r="I72"/>
      <c r="J72"/>
      <c r="K72"/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5" customFormat="1" x14ac:dyDescent="0.3">
      <c r="A81" s="14" t="s">
        <v>36</v>
      </c>
      <c r="B81" s="9">
        <v>42825</v>
      </c>
      <c r="C81" s="9">
        <v>43190</v>
      </c>
      <c r="D81" s="9">
        <v>43555</v>
      </c>
      <c r="E81" s="9">
        <v>43921</v>
      </c>
      <c r="F81" s="9">
        <v>44286</v>
      </c>
      <c r="G81" s="9">
        <v>44651</v>
      </c>
      <c r="H81" s="9">
        <v>45016</v>
      </c>
      <c r="I81" s="9">
        <v>45382</v>
      </c>
      <c r="J81" s="9">
        <v>45747</v>
      </c>
      <c r="K81" s="9">
        <v>46112</v>
      </c>
    </row>
    <row r="82" spans="1:11" s="1" customFormat="1" x14ac:dyDescent="0.3">
      <c r="A82" s="6" t="s">
        <v>30</v>
      </c>
      <c r="B82">
        <v>32208.62</v>
      </c>
      <c r="C82">
        <v>-38390.300000000003</v>
      </c>
      <c r="D82">
        <v>37125.25</v>
      </c>
      <c r="E82">
        <v>30415.64</v>
      </c>
      <c r="F82">
        <v>12632.88</v>
      </c>
      <c r="G82">
        <v>28137.3</v>
      </c>
      <c r="H82">
        <v>22074.78</v>
      </c>
      <c r="I82">
        <v>-5554.67</v>
      </c>
      <c r="J82">
        <v>44383.68</v>
      </c>
      <c r="K82">
        <v>-8636.7099999999991</v>
      </c>
    </row>
    <row r="83" spans="1:11" s="6" customFormat="1" x14ac:dyDescent="0.3">
      <c r="A83" s="6" t="s">
        <v>31</v>
      </c>
      <c r="B83">
        <v>-12458.4</v>
      </c>
      <c r="C83">
        <v>-10007.1</v>
      </c>
      <c r="D83">
        <v>-18674.349999999999</v>
      </c>
      <c r="E83">
        <v>-9485.2999999999993</v>
      </c>
      <c r="F83">
        <v>-54287.63</v>
      </c>
      <c r="G83">
        <v>-27112.23</v>
      </c>
      <c r="H83">
        <v>-32350.9</v>
      </c>
      <c r="I83">
        <v>-9001.33</v>
      </c>
      <c r="J83">
        <v>-51177.8</v>
      </c>
      <c r="K83">
        <v>-45068.09</v>
      </c>
    </row>
    <row r="84" spans="1:11" s="6" customFormat="1" x14ac:dyDescent="0.3">
      <c r="A84" s="6" t="s">
        <v>32</v>
      </c>
      <c r="B84">
        <v>-2486.91</v>
      </c>
      <c r="C84">
        <v>41342.089999999997</v>
      </c>
      <c r="D84">
        <v>5642.6</v>
      </c>
      <c r="E84">
        <v>8865.1299999999992</v>
      </c>
      <c r="F84">
        <v>7279.33</v>
      </c>
      <c r="G84">
        <v>47894.080000000002</v>
      </c>
      <c r="H84">
        <v>6640.54</v>
      </c>
      <c r="I84">
        <v>22341.25</v>
      </c>
      <c r="J84">
        <v>-7000.36</v>
      </c>
      <c r="K84">
        <v>60357.67</v>
      </c>
    </row>
    <row r="85" spans="1:11" s="1" customFormat="1" x14ac:dyDescent="0.3">
      <c r="A85" s="6" t="s">
        <v>33</v>
      </c>
      <c r="B85">
        <v>17263.310000000001</v>
      </c>
      <c r="C85">
        <v>-7055.3</v>
      </c>
      <c r="D85">
        <v>24093.5</v>
      </c>
      <c r="E85">
        <v>29795.47</v>
      </c>
      <c r="F85">
        <v>-34375.42</v>
      </c>
      <c r="G85">
        <v>48919.15</v>
      </c>
      <c r="H85">
        <v>-3635.58</v>
      </c>
      <c r="I85">
        <v>7785.25</v>
      </c>
      <c r="J85">
        <v>-13794.48</v>
      </c>
      <c r="K85">
        <v>6652.87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66</v>
      </c>
      <c r="B90">
        <v>490.8</v>
      </c>
      <c r="C90">
        <v>510.5</v>
      </c>
      <c r="D90">
        <v>777.25</v>
      </c>
      <c r="E90">
        <v>379</v>
      </c>
      <c r="F90">
        <v>697.45</v>
      </c>
      <c r="G90">
        <v>761.15</v>
      </c>
      <c r="H90">
        <v>858.5</v>
      </c>
      <c r="I90">
        <v>1047.2</v>
      </c>
      <c r="J90">
        <v>1102</v>
      </c>
      <c r="K90">
        <v>1161.3</v>
      </c>
    </row>
    <row r="92" spans="1:11" s="1" customFormat="1" x14ac:dyDescent="0.3">
      <c r="A92" s="1" t="s">
        <v>65</v>
      </c>
    </row>
    <row r="93" spans="1:11" x14ac:dyDescent="0.3">
      <c r="A93" s="4" t="s">
        <v>78</v>
      </c>
      <c r="B93" s="17">
        <v>239.5</v>
      </c>
      <c r="C93" s="17">
        <v>256.64999999999998</v>
      </c>
      <c r="D93" s="17">
        <v>257.16000000000003</v>
      </c>
      <c r="E93" s="17">
        <v>282.17</v>
      </c>
      <c r="F93" s="17">
        <v>306.37</v>
      </c>
      <c r="G93" s="17">
        <v>306.97000000000003</v>
      </c>
      <c r="H93" s="17">
        <v>307.69</v>
      </c>
      <c r="I93" s="17">
        <v>308.66000000000003</v>
      </c>
      <c r="J93" s="17">
        <v>309.74</v>
      </c>
      <c r="K93" s="17">
        <v>310.82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Profit &amp; Loss</vt:lpstr>
      <vt:lpstr>Quarters</vt:lpstr>
      <vt:lpstr>Balance Sheet</vt:lpstr>
      <vt:lpstr>Cash Flow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sayuj sreenivasan</cp:lastModifiedBy>
  <cp:lastPrinted>2012-12-06T18:14:13Z</cp:lastPrinted>
  <dcterms:created xsi:type="dcterms:W3CDTF">2012-08-17T09:55:37Z</dcterms:created>
  <dcterms:modified xsi:type="dcterms:W3CDTF">2026-09-03T13:01:51Z</dcterms:modified>
</cp:coreProperties>
</file>